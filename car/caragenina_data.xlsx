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revo\OneDrive\Documents\GitHub\TEdissy_analysis\car\"/>
    </mc:Choice>
  </mc:AlternateContent>
  <xr:revisionPtr revIDLastSave="0" documentId="13_ncr:1_{7E5E8942-44DB-460E-ACC8-9B4340B167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replicate calc" sheetId="2" r:id="rId2"/>
    <sheet name="final replicates" sheetId="7" r:id="rId3"/>
    <sheet name="replicates_info_copy" sheetId="3" r:id="rId4"/>
    <sheet name="quefalta" sheetId="4" r:id="rId5"/>
    <sheet name="petri archiv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knYMgkGhgaJRb66r9wG9VoxFluAZCrsfJ8uiFflGIg="/>
    </ext>
  </extLst>
</workbook>
</file>

<file path=xl/calcChain.xml><?xml version="1.0" encoding="utf-8"?>
<calcChain xmlns="http://schemas.openxmlformats.org/spreadsheetml/2006/main">
  <c r="M9" i="1" l="1"/>
  <c r="E20" i="2"/>
  <c r="E11" i="2"/>
  <c r="E9" i="2"/>
  <c r="E8" i="2"/>
  <c r="E7" i="2"/>
  <c r="E10" i="2"/>
  <c r="E12" i="2"/>
  <c r="E13" i="2"/>
  <c r="E14" i="2"/>
  <c r="E15" i="2"/>
  <c r="E16" i="2"/>
  <c r="E17" i="2"/>
  <c r="E18" i="2"/>
  <c r="E19" i="2"/>
  <c r="E6" i="2"/>
  <c r="E5" i="2"/>
  <c r="E4" i="2"/>
  <c r="E3" i="2"/>
  <c r="L2" i="1"/>
  <c r="L3" i="1"/>
  <c r="L4" i="1"/>
  <c r="L5" i="1"/>
  <c r="L6" i="1"/>
  <c r="L7" i="1"/>
  <c r="L8" i="1"/>
  <c r="L9" i="1"/>
  <c r="L10" i="1"/>
  <c r="M10" i="1" s="1"/>
  <c r="L11" i="1"/>
  <c r="L12" i="1"/>
  <c r="L13" i="1"/>
  <c r="L14" i="1"/>
  <c r="M14" i="1" s="1"/>
  <c r="L15" i="1"/>
  <c r="L16" i="1"/>
  <c r="L17" i="1"/>
  <c r="L18" i="1"/>
  <c r="M18" i="1" s="1"/>
  <c r="L19" i="1"/>
  <c r="L20" i="1"/>
  <c r="L21" i="1"/>
  <c r="M6" i="1"/>
  <c r="M2" i="1"/>
  <c r="E2" i="4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M21" i="1"/>
  <c r="M20" i="1"/>
  <c r="M19" i="1"/>
  <c r="M17" i="1"/>
  <c r="M16" i="1"/>
  <c r="M15" i="1"/>
  <c r="M13" i="1"/>
  <c r="M12" i="1"/>
  <c r="M11" i="1"/>
  <c r="M8" i="1"/>
  <c r="M7" i="1"/>
  <c r="M5" i="1"/>
  <c r="M4" i="1"/>
  <c r="M3" i="1"/>
</calcChain>
</file>

<file path=xl/sharedStrings.xml><?xml version="1.0" encoding="utf-8"?>
<sst xmlns="http://schemas.openxmlformats.org/spreadsheetml/2006/main" count="355" uniqueCount="157">
  <si>
    <t>UID</t>
  </si>
  <si>
    <t>Date completed</t>
  </si>
  <si>
    <t>Sample ID</t>
  </si>
  <si>
    <t>sample weight</t>
  </si>
  <si>
    <t>petri_dish weight</t>
  </si>
  <si>
    <t>petri number</t>
  </si>
  <si>
    <t>CW1</t>
  </si>
  <si>
    <t>CW2</t>
  </si>
  <si>
    <t>CW3</t>
  </si>
  <si>
    <t>CW4</t>
  </si>
  <si>
    <t>petri_2</t>
  </si>
  <si>
    <t>CW_total</t>
  </si>
  <si>
    <t>Notes</t>
  </si>
  <si>
    <t>C_01</t>
  </si>
  <si>
    <t>Lab01</t>
  </si>
  <si>
    <t>redo (bad labelling)</t>
  </si>
  <si>
    <t>Could be 3, 2, 8</t>
  </si>
  <si>
    <t>black ink</t>
  </si>
  <si>
    <t>C_02</t>
  </si>
  <si>
    <t>Lab02</t>
  </si>
  <si>
    <t>C_03</t>
  </si>
  <si>
    <t>Lab03</t>
  </si>
  <si>
    <t>C_04</t>
  </si>
  <si>
    <t>Lab04</t>
  </si>
  <si>
    <t>C_05</t>
  </si>
  <si>
    <t>Lab05</t>
  </si>
  <si>
    <t>C_06</t>
  </si>
  <si>
    <t>Lab06</t>
  </si>
  <si>
    <t>C_07</t>
  </si>
  <si>
    <t>Lab07</t>
  </si>
  <si>
    <t>Lab08</t>
  </si>
  <si>
    <t>C_09</t>
  </si>
  <si>
    <t>Lab09</t>
  </si>
  <si>
    <t>C_10</t>
  </si>
  <si>
    <t>Lab10</t>
  </si>
  <si>
    <t>C_11</t>
  </si>
  <si>
    <t>Lab11</t>
  </si>
  <si>
    <t>C_12</t>
  </si>
  <si>
    <t>Lab12</t>
  </si>
  <si>
    <t>C_13</t>
  </si>
  <si>
    <t>Lab13</t>
  </si>
  <si>
    <t>C_14</t>
  </si>
  <si>
    <t>Lab14</t>
  </si>
  <si>
    <t>C_15</t>
  </si>
  <si>
    <t>Lab15</t>
  </si>
  <si>
    <t>C_16</t>
  </si>
  <si>
    <t>Lab16</t>
  </si>
  <si>
    <t>C_17</t>
  </si>
  <si>
    <t>Lab17</t>
  </si>
  <si>
    <t>C_18</t>
  </si>
  <si>
    <t>Lab18</t>
  </si>
  <si>
    <t>C_19</t>
  </si>
  <si>
    <t>Lab19</t>
  </si>
  <si>
    <t>C_20</t>
  </si>
  <si>
    <t>Lab20</t>
  </si>
  <si>
    <t>C_21</t>
  </si>
  <si>
    <t>Lab21</t>
  </si>
  <si>
    <t>C_22</t>
  </si>
  <si>
    <t>C_23</t>
  </si>
  <si>
    <t>C_24</t>
  </si>
  <si>
    <t>C_25</t>
  </si>
  <si>
    <t>C_26</t>
  </si>
  <si>
    <t>C_27</t>
  </si>
  <si>
    <t>C_28</t>
  </si>
  <si>
    <t>Conc remaining R01</t>
  </si>
  <si>
    <t>C_29</t>
  </si>
  <si>
    <t>Conc remaining R05</t>
  </si>
  <si>
    <t>redo bad labelling</t>
  </si>
  <si>
    <t>C_30</t>
  </si>
  <si>
    <t>redo, bad labelling: puede ser nueve o puede ser un duplicante de arrible. Was labeled The same as above</t>
  </si>
  <si>
    <t>C_31</t>
  </si>
  <si>
    <t>C_32</t>
  </si>
  <si>
    <t>C_33</t>
  </si>
  <si>
    <t>C_34</t>
  </si>
  <si>
    <t>C_35</t>
  </si>
  <si>
    <t>Lab45</t>
  </si>
  <si>
    <t>C_36</t>
  </si>
  <si>
    <t>Lab47</t>
  </si>
  <si>
    <t>C_37</t>
  </si>
  <si>
    <t>C_38</t>
  </si>
  <si>
    <t>C_39</t>
  </si>
  <si>
    <t>C_40</t>
  </si>
  <si>
    <t xml:space="preserve">g Caragenina/g sample </t>
  </si>
  <si>
    <t>ID</t>
  </si>
  <si>
    <t>t_rep_1_0526</t>
  </si>
  <si>
    <t>ID2_0517</t>
  </si>
  <si>
    <t>t_rep_2</t>
  </si>
  <si>
    <t>New Samp ID</t>
  </si>
  <si>
    <t>Sample Code</t>
  </si>
  <si>
    <t>Location</t>
  </si>
  <si>
    <t>variety</t>
  </si>
  <si>
    <t>Ind_ID</t>
  </si>
  <si>
    <t>Life Stage</t>
  </si>
  <si>
    <t>R01</t>
  </si>
  <si>
    <t>Mendieta</t>
  </si>
  <si>
    <t>C.Cham</t>
  </si>
  <si>
    <t>I45</t>
  </si>
  <si>
    <t>Tetra</t>
  </si>
  <si>
    <t>R02</t>
  </si>
  <si>
    <t>I38</t>
  </si>
  <si>
    <t>R04</t>
  </si>
  <si>
    <t>I26</t>
  </si>
  <si>
    <t>Carp</t>
  </si>
  <si>
    <t>Mendienta</t>
  </si>
  <si>
    <t>I37</t>
  </si>
  <si>
    <t>R05</t>
  </si>
  <si>
    <t>I47</t>
  </si>
  <si>
    <t>Gam</t>
  </si>
  <si>
    <t>Concession</t>
  </si>
  <si>
    <t>I63</t>
  </si>
  <si>
    <t>lab07</t>
  </si>
  <si>
    <t>I49</t>
  </si>
  <si>
    <t>R03</t>
  </si>
  <si>
    <t>I65</t>
  </si>
  <si>
    <t>many</t>
  </si>
  <si>
    <t>Gam/Tetra</t>
  </si>
  <si>
    <t>F. Glom</t>
  </si>
  <si>
    <t>Carro Caido</t>
  </si>
  <si>
    <t>CC10</t>
  </si>
  <si>
    <t>CC11</t>
  </si>
  <si>
    <t>7H</t>
  </si>
  <si>
    <t>F.Glom</t>
  </si>
  <si>
    <t>Processed bag</t>
  </si>
  <si>
    <t>Unknown</t>
  </si>
  <si>
    <t xml:space="preserve">R02 </t>
  </si>
  <si>
    <t>Proceseed bag</t>
  </si>
  <si>
    <t>Lab22</t>
  </si>
  <si>
    <t># veces repetir</t>
  </si>
  <si>
    <t>total analysis remaining</t>
  </si>
  <si>
    <t>Francisco Conc</t>
  </si>
  <si>
    <t>Mendieta F. Glom</t>
  </si>
  <si>
    <t>Caro Caido</t>
  </si>
  <si>
    <t>7H Fglom</t>
  </si>
  <si>
    <t>Lab20 (harina)</t>
  </si>
  <si>
    <t>Ilo</t>
  </si>
  <si>
    <t>Lab21 (harina)</t>
  </si>
  <si>
    <t>Lab22 (harina)</t>
  </si>
  <si>
    <t>Lab23</t>
  </si>
  <si>
    <t>Lab24</t>
  </si>
  <si>
    <t>Lab25</t>
  </si>
  <si>
    <t>Lab36</t>
  </si>
  <si>
    <t>Lab37</t>
  </si>
  <si>
    <t>Lab46</t>
  </si>
  <si>
    <t>Lab43</t>
  </si>
  <si>
    <t>Lab44</t>
  </si>
  <si>
    <t>Lab49</t>
  </si>
  <si>
    <t>Lab51</t>
  </si>
  <si>
    <t>Lab50</t>
  </si>
  <si>
    <t>Lab40</t>
  </si>
  <si>
    <t>Mendieta Fglom</t>
  </si>
  <si>
    <t>Lab41</t>
  </si>
  <si>
    <t>CW_per_g1</t>
  </si>
  <si>
    <t>Lab 45</t>
  </si>
  <si>
    <t>Lab 47</t>
  </si>
  <si>
    <t>t_rep_number</t>
  </si>
  <si>
    <t>final_value</t>
  </si>
  <si>
    <t>content_p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</si>
</sst>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4" fontId="5" fillId="2" borderId="1" xfId="0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14" fontId="5" fillId="0" borderId="0" xfId="0" applyNumberFormat="1" applyFont="1"/>
    <xf numFmtId="14" fontId="4" fillId="0" borderId="0" xfId="0" applyNumberFormat="1" applyFont="1"/>
    <xf numFmtId="0" fontId="7" fillId="0" borderId="0" xfId="0" applyFont="1"/>
    <xf numFmtId="164" fontId="7" fillId="0" borderId="0" xfId="0" applyNumberFormat="1" applyFont="1"/>
    <xf numFmtId="164" fontId="6" fillId="0" borderId="0" xfId="0" applyNumberFormat="1" applyFont="1"/>
    <xf numFmtId="0" fontId="8" fillId="0" borderId="0" xfId="0" applyFont="1"/>
    <xf numFmtId="0" fontId="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zoomScale="125" workbookViewId="0">
      <pane ySplit="1" topLeftCell="A2" activePane="bottomLeft" state="frozen"/>
      <selection pane="bottomLeft" activeCell="M9" sqref="M9"/>
    </sheetView>
  </sheetViews>
  <sheetFormatPr defaultColWidth="12.6328125" defaultRowHeight="15" customHeight="1" x14ac:dyDescent="0.35"/>
  <cols>
    <col min="1" max="1" width="8.6328125" customWidth="1"/>
    <col min="2" max="2" width="9.08984375" customWidth="1"/>
    <col min="3" max="11" width="8.6328125" customWidth="1"/>
    <col min="12" max="12" width="11.81640625" customWidth="1"/>
    <col min="13" max="27" width="8.6328125" customWidth="1"/>
  </cols>
  <sheetData>
    <row r="1" spans="1:2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151</v>
      </c>
      <c r="O1" s="1" t="s">
        <v>12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5">
      <c r="A2" s="3" t="s">
        <v>13</v>
      </c>
      <c r="B2" s="4">
        <v>45794</v>
      </c>
      <c r="C2" s="5" t="s">
        <v>14</v>
      </c>
      <c r="D2" s="5">
        <v>5.0080999999999998</v>
      </c>
      <c r="E2" s="5"/>
      <c r="F2" s="5"/>
      <c r="G2" s="5">
        <v>1.9979</v>
      </c>
      <c r="H2" s="5"/>
      <c r="I2" s="5"/>
      <c r="J2" s="5"/>
      <c r="K2" s="5"/>
      <c r="L2" s="5">
        <f>SUM(G2:J2)</f>
        <v>1.9979</v>
      </c>
      <c r="M2" s="5">
        <f>L2/D2</f>
        <v>0.3989337273616741</v>
      </c>
      <c r="O2" s="5" t="s">
        <v>15</v>
      </c>
      <c r="P2" s="5" t="s">
        <v>16</v>
      </c>
      <c r="Q2" s="5" t="s">
        <v>17</v>
      </c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35">
      <c r="A3" s="6" t="s">
        <v>18</v>
      </c>
      <c r="B3" s="7">
        <v>45794</v>
      </c>
      <c r="C3" s="6" t="s">
        <v>19</v>
      </c>
      <c r="D3" s="6">
        <v>5.0186999999999999</v>
      </c>
      <c r="G3" s="6">
        <v>0.32569999999999999</v>
      </c>
      <c r="K3" s="5"/>
      <c r="L3" s="5">
        <f t="shared" ref="L3:L21" si="0">SUM(G3:J3)</f>
        <v>0.32569999999999999</v>
      </c>
      <c r="M3" s="5">
        <f t="shared" ref="M3:M40" si="1">L3/D3</f>
        <v>6.4897284157251878E-2</v>
      </c>
    </row>
    <row r="4" spans="1:27" ht="14.25" customHeight="1" x14ac:dyDescent="0.35">
      <c r="A4" s="6" t="s">
        <v>20</v>
      </c>
      <c r="B4" s="7">
        <v>45794</v>
      </c>
      <c r="C4" s="6" t="s">
        <v>21</v>
      </c>
      <c r="D4" s="6">
        <v>5.0762</v>
      </c>
      <c r="G4" s="6">
        <v>1.2134</v>
      </c>
      <c r="H4" s="6">
        <v>0.56689999999999996</v>
      </c>
      <c r="I4" s="6">
        <v>1.0529999999999999</v>
      </c>
      <c r="J4" s="6">
        <v>1</v>
      </c>
      <c r="K4" s="5"/>
      <c r="L4" s="5">
        <f t="shared" si="0"/>
        <v>3.8332999999999999</v>
      </c>
      <c r="M4" s="5">
        <f t="shared" si="1"/>
        <v>0.75515149127299952</v>
      </c>
    </row>
    <row r="5" spans="1:27" ht="14.25" customHeight="1" x14ac:dyDescent="0.35">
      <c r="A5" s="6" t="s">
        <v>22</v>
      </c>
      <c r="B5" s="7">
        <v>45794</v>
      </c>
      <c r="C5" s="6" t="s">
        <v>23</v>
      </c>
      <c r="D5" s="6">
        <v>5.0132000000000003</v>
      </c>
      <c r="G5" s="6">
        <v>1.0298</v>
      </c>
      <c r="H5" s="6">
        <v>1.2595000000000001</v>
      </c>
      <c r="K5" s="5"/>
      <c r="L5" s="5">
        <f t="shared" si="0"/>
        <v>2.2892999999999999</v>
      </c>
      <c r="M5" s="5">
        <f t="shared" si="1"/>
        <v>0.45665443229873132</v>
      </c>
    </row>
    <row r="6" spans="1:27" ht="14.25" customHeight="1" x14ac:dyDescent="0.35">
      <c r="A6" s="6" t="s">
        <v>24</v>
      </c>
      <c r="B6" s="7">
        <v>45794</v>
      </c>
      <c r="C6" s="6" t="s">
        <v>25</v>
      </c>
      <c r="D6" s="6">
        <v>5.0266999999999999</v>
      </c>
      <c r="G6" s="6">
        <v>1.3859999999999999</v>
      </c>
      <c r="H6" s="6">
        <v>0.93340000000000001</v>
      </c>
      <c r="I6" s="6">
        <v>1.2257</v>
      </c>
      <c r="J6" s="6">
        <v>1.7173</v>
      </c>
      <c r="K6" s="5"/>
      <c r="L6" s="5">
        <f t="shared" si="0"/>
        <v>5.2623999999999995</v>
      </c>
      <c r="M6" s="5">
        <f t="shared" si="1"/>
        <v>1.0468896094853481</v>
      </c>
    </row>
    <row r="7" spans="1:27" ht="14.25" customHeight="1" x14ac:dyDescent="0.35">
      <c r="A7" s="6" t="s">
        <v>26</v>
      </c>
      <c r="B7" s="7">
        <v>45794</v>
      </c>
      <c r="C7" s="6" t="s">
        <v>27</v>
      </c>
      <c r="D7" s="6">
        <v>2.5194999999999999</v>
      </c>
      <c r="G7" s="6">
        <v>0.26668999999999998</v>
      </c>
      <c r="K7" s="5"/>
      <c r="L7" s="5">
        <f t="shared" si="0"/>
        <v>0.26668999999999998</v>
      </c>
      <c r="M7" s="5">
        <f t="shared" si="1"/>
        <v>0.10585036713633657</v>
      </c>
    </row>
    <row r="8" spans="1:27" ht="14.25" customHeight="1" x14ac:dyDescent="0.35">
      <c r="A8" s="6" t="s">
        <v>28</v>
      </c>
      <c r="B8" s="7">
        <v>45794</v>
      </c>
      <c r="C8" s="6" t="s">
        <v>29</v>
      </c>
      <c r="D8" s="6">
        <v>5.0982000000000003</v>
      </c>
      <c r="G8" s="6">
        <v>0.1709</v>
      </c>
      <c r="H8" s="6">
        <v>0.16750000000000001</v>
      </c>
      <c r="K8" s="5"/>
      <c r="L8" s="5">
        <f t="shared" si="0"/>
        <v>0.33840000000000003</v>
      </c>
      <c r="M8" s="5">
        <f t="shared" si="1"/>
        <v>6.6376368129928212E-2</v>
      </c>
    </row>
    <row r="9" spans="1:27" ht="14.25" customHeight="1" x14ac:dyDescent="0.35">
      <c r="A9" s="6" t="s">
        <v>31</v>
      </c>
      <c r="B9" s="7">
        <v>45794</v>
      </c>
      <c r="C9" s="6" t="s">
        <v>32</v>
      </c>
      <c r="D9" s="6">
        <v>5.0041000000000002</v>
      </c>
      <c r="G9" s="6">
        <v>1.1027</v>
      </c>
      <c r="K9" s="5"/>
      <c r="L9" s="5">
        <f t="shared" si="0"/>
        <v>1.1027</v>
      </c>
      <c r="M9" s="5">
        <f>L9/D9</f>
        <v>0.22035930536959691</v>
      </c>
    </row>
    <row r="10" spans="1:27" ht="14.25" customHeight="1" x14ac:dyDescent="0.35">
      <c r="A10" s="6" t="s">
        <v>33</v>
      </c>
      <c r="B10" s="7">
        <v>45794</v>
      </c>
      <c r="C10" s="6" t="s">
        <v>34</v>
      </c>
      <c r="D10" s="6">
        <v>5.0632000000000001</v>
      </c>
      <c r="G10" s="6">
        <v>0.80889999999999995</v>
      </c>
      <c r="H10" s="6">
        <v>0.86070000000000002</v>
      </c>
      <c r="I10" s="6">
        <v>1.0914999999999999</v>
      </c>
      <c r="J10" s="6">
        <v>0.84250000000000003</v>
      </c>
      <c r="K10" s="5"/>
      <c r="L10" s="5">
        <f t="shared" si="0"/>
        <v>3.6036000000000001</v>
      </c>
      <c r="M10" s="5">
        <f t="shared" si="1"/>
        <v>0.7117238110285985</v>
      </c>
    </row>
    <row r="11" spans="1:27" ht="14.25" customHeight="1" x14ac:dyDescent="0.35">
      <c r="A11" s="6" t="s">
        <v>35</v>
      </c>
      <c r="B11" s="7">
        <v>45794</v>
      </c>
      <c r="C11" s="6" t="s">
        <v>36</v>
      </c>
      <c r="D11" s="6">
        <v>5.0469999999999997</v>
      </c>
      <c r="G11" s="6">
        <v>0.71919999999999995</v>
      </c>
      <c r="K11" s="5"/>
      <c r="L11" s="5">
        <f t="shared" si="0"/>
        <v>0.71919999999999995</v>
      </c>
      <c r="M11" s="5">
        <f t="shared" si="1"/>
        <v>0.14250049534376857</v>
      </c>
    </row>
    <row r="12" spans="1:27" ht="14.25" customHeight="1" x14ac:dyDescent="0.35">
      <c r="A12" s="6" t="s">
        <v>37</v>
      </c>
      <c r="B12" s="7">
        <v>45794</v>
      </c>
      <c r="C12" s="6" t="s">
        <v>38</v>
      </c>
      <c r="D12" s="6">
        <v>5.0419</v>
      </c>
      <c r="G12" s="6">
        <v>0.70779999999999998</v>
      </c>
      <c r="H12" s="6">
        <v>1.0033000000000001</v>
      </c>
      <c r="K12" s="5"/>
      <c r="L12" s="5">
        <f t="shared" si="0"/>
        <v>1.7111000000000001</v>
      </c>
      <c r="M12" s="5">
        <f t="shared" si="1"/>
        <v>0.33937602887800233</v>
      </c>
    </row>
    <row r="13" spans="1:27" ht="14.25" customHeight="1" x14ac:dyDescent="0.35">
      <c r="A13" s="6" t="s">
        <v>39</v>
      </c>
      <c r="B13" s="7">
        <v>45794</v>
      </c>
      <c r="C13" s="6" t="s">
        <v>40</v>
      </c>
      <c r="D13" s="6">
        <v>5.0282999999999998</v>
      </c>
      <c r="G13" s="6">
        <v>0.60950000000000004</v>
      </c>
      <c r="K13" s="5"/>
      <c r="L13" s="5">
        <f t="shared" si="0"/>
        <v>0.60950000000000004</v>
      </c>
      <c r="M13" s="5">
        <f t="shared" si="1"/>
        <v>0.12121392916094904</v>
      </c>
    </row>
    <row r="14" spans="1:27" ht="14.25" customHeight="1" x14ac:dyDescent="0.35">
      <c r="A14" s="6" t="s">
        <v>41</v>
      </c>
      <c r="B14" s="7">
        <v>45794</v>
      </c>
      <c r="C14" s="6" t="s">
        <v>42</v>
      </c>
      <c r="D14" s="6">
        <v>4.4181999999999997</v>
      </c>
      <c r="G14" s="6">
        <v>1.2544</v>
      </c>
      <c r="K14" s="5"/>
      <c r="L14" s="5">
        <f t="shared" si="0"/>
        <v>1.2544</v>
      </c>
      <c r="M14" s="5">
        <f t="shared" si="1"/>
        <v>0.28391652709248111</v>
      </c>
    </row>
    <row r="15" spans="1:27" ht="14.25" customHeight="1" x14ac:dyDescent="0.35">
      <c r="A15" s="6" t="s">
        <v>43</v>
      </c>
      <c r="B15" s="7">
        <v>45794</v>
      </c>
      <c r="C15" s="6" t="s">
        <v>44</v>
      </c>
      <c r="D15" s="6">
        <v>2.3239999999999998</v>
      </c>
      <c r="G15" s="6">
        <v>1.0487</v>
      </c>
      <c r="H15" s="6">
        <v>0.41510000000000002</v>
      </c>
      <c r="K15" s="5"/>
      <c r="L15" s="5">
        <f t="shared" si="0"/>
        <v>1.4638</v>
      </c>
      <c r="M15" s="5">
        <f t="shared" si="1"/>
        <v>0.62986230636833052</v>
      </c>
    </row>
    <row r="16" spans="1:27" ht="14.25" customHeight="1" x14ac:dyDescent="0.35">
      <c r="A16" s="6" t="s">
        <v>45</v>
      </c>
      <c r="B16" s="7">
        <v>45794</v>
      </c>
      <c r="C16" s="6" t="s">
        <v>46</v>
      </c>
      <c r="D16" s="6">
        <v>5.0468999999999999</v>
      </c>
      <c r="G16" s="6">
        <v>1.3431999999999999</v>
      </c>
      <c r="H16" s="6">
        <v>1.4194</v>
      </c>
      <c r="I16" s="6">
        <v>2.8000000000000001E-2</v>
      </c>
      <c r="K16" s="5"/>
      <c r="L16" s="5">
        <f t="shared" si="0"/>
        <v>2.7906</v>
      </c>
      <c r="M16" s="5">
        <f t="shared" si="1"/>
        <v>0.55293348392082264</v>
      </c>
    </row>
    <row r="17" spans="1:27" ht="14.25" customHeight="1" x14ac:dyDescent="0.35">
      <c r="A17" s="6" t="s">
        <v>47</v>
      </c>
      <c r="B17" s="7">
        <v>45794</v>
      </c>
      <c r="C17" s="6" t="s">
        <v>48</v>
      </c>
      <c r="D17" s="6">
        <v>5.0636999999999999</v>
      </c>
      <c r="G17" s="6">
        <v>1.3832</v>
      </c>
      <c r="H17" s="6">
        <v>0.97240000000000004</v>
      </c>
      <c r="K17" s="5"/>
      <c r="L17" s="5">
        <f t="shared" si="0"/>
        <v>2.3555999999999999</v>
      </c>
      <c r="M17" s="5">
        <f t="shared" si="1"/>
        <v>0.46519343563007287</v>
      </c>
    </row>
    <row r="18" spans="1:27" ht="14.25" customHeight="1" x14ac:dyDescent="0.35">
      <c r="A18" s="6" t="s">
        <v>49</v>
      </c>
      <c r="B18" s="7">
        <v>45794</v>
      </c>
      <c r="C18" s="6" t="s">
        <v>50</v>
      </c>
      <c r="D18" s="6">
        <v>5.03</v>
      </c>
      <c r="G18" s="6">
        <v>1.2705</v>
      </c>
      <c r="H18" s="6">
        <v>1.2939000000000001</v>
      </c>
      <c r="K18" s="5"/>
      <c r="L18" s="5">
        <f t="shared" si="0"/>
        <v>2.5644</v>
      </c>
      <c r="M18" s="5">
        <f t="shared" si="1"/>
        <v>0.50982107355864814</v>
      </c>
    </row>
    <row r="19" spans="1:27" ht="14.25" customHeight="1" x14ac:dyDescent="0.35">
      <c r="A19" s="6" t="s">
        <v>51</v>
      </c>
      <c r="B19" s="7">
        <v>45794</v>
      </c>
      <c r="C19" s="6" t="s">
        <v>52</v>
      </c>
      <c r="D19" s="6">
        <v>5.0053000000000001</v>
      </c>
      <c r="G19" s="6">
        <v>1.7007000000000001</v>
      </c>
      <c r="K19" s="5"/>
      <c r="L19" s="5">
        <f t="shared" si="0"/>
        <v>1.7007000000000001</v>
      </c>
      <c r="M19" s="5">
        <f t="shared" si="1"/>
        <v>0.33977983337662082</v>
      </c>
    </row>
    <row r="20" spans="1:27" ht="14.25" customHeight="1" x14ac:dyDescent="0.35">
      <c r="A20" s="6" t="s">
        <v>53</v>
      </c>
      <c r="B20" s="7">
        <v>45794</v>
      </c>
      <c r="C20" s="6" t="s">
        <v>54</v>
      </c>
      <c r="D20" s="6">
        <v>5.0746000000000002</v>
      </c>
      <c r="G20" s="6">
        <v>1.5487</v>
      </c>
      <c r="H20" s="6">
        <v>0.77239999999999998</v>
      </c>
      <c r="I20" s="6">
        <v>1.2727999999999999</v>
      </c>
      <c r="K20" s="5"/>
      <c r="L20" s="5">
        <f t="shared" si="0"/>
        <v>3.5938999999999997</v>
      </c>
      <c r="M20" s="5">
        <f t="shared" si="1"/>
        <v>0.70821345524770418</v>
      </c>
    </row>
    <row r="21" spans="1:27" ht="14.25" customHeight="1" x14ac:dyDescent="0.35">
      <c r="A21" s="6" t="s">
        <v>55</v>
      </c>
      <c r="B21" s="7">
        <v>45794</v>
      </c>
      <c r="C21" s="6" t="s">
        <v>56</v>
      </c>
      <c r="D21" s="6">
        <v>5.0210999999999997</v>
      </c>
      <c r="G21" s="6">
        <v>1.5784</v>
      </c>
      <c r="H21" s="6">
        <v>1.6564000000000001</v>
      </c>
      <c r="K21" s="5"/>
      <c r="L21" s="5">
        <f t="shared" si="0"/>
        <v>3.2347999999999999</v>
      </c>
      <c r="M21" s="5">
        <f t="shared" si="1"/>
        <v>0.64424130170679739</v>
      </c>
    </row>
    <row r="22" spans="1:27" ht="14.25" customHeight="1" x14ac:dyDescent="0.35">
      <c r="A22" s="6" t="s">
        <v>57</v>
      </c>
      <c r="B22" s="8">
        <v>45803</v>
      </c>
      <c r="C22" s="6" t="s">
        <v>14</v>
      </c>
      <c r="D22" s="6">
        <v>1.0033000000000001</v>
      </c>
      <c r="E22" s="6">
        <v>35.458100000000002</v>
      </c>
      <c r="F22" s="6">
        <v>1</v>
      </c>
      <c r="K22" s="9">
        <v>35.981699999999996</v>
      </c>
      <c r="L22" s="6">
        <f t="shared" ref="L22:L40" si="2">K22-E22</f>
        <v>0.52359999999999474</v>
      </c>
      <c r="M22" s="5">
        <f t="shared" si="1"/>
        <v>0.52187780324927213</v>
      </c>
    </row>
    <row r="23" spans="1:27" ht="14.25" customHeight="1" x14ac:dyDescent="0.35">
      <c r="A23" s="6" t="s">
        <v>58</v>
      </c>
      <c r="B23" s="8">
        <v>45803</v>
      </c>
      <c r="C23" s="6" t="s">
        <v>19</v>
      </c>
      <c r="D23" s="6">
        <v>1.0521</v>
      </c>
      <c r="E23" s="6">
        <v>39.059699999999999</v>
      </c>
      <c r="F23" s="6">
        <v>2</v>
      </c>
      <c r="K23" s="9">
        <v>39.142200000000003</v>
      </c>
      <c r="L23" s="6">
        <f t="shared" si="2"/>
        <v>8.2500000000003126E-2</v>
      </c>
      <c r="M23" s="5">
        <f t="shared" si="1"/>
        <v>7.8414599372686175E-2</v>
      </c>
    </row>
    <row r="24" spans="1:27" ht="14.25" customHeight="1" x14ac:dyDescent="0.35">
      <c r="A24" s="6" t="s">
        <v>59</v>
      </c>
      <c r="B24" s="8">
        <v>45803</v>
      </c>
      <c r="C24" s="6" t="s">
        <v>21</v>
      </c>
      <c r="D24" s="6">
        <v>1.0125</v>
      </c>
      <c r="E24" s="6">
        <v>38.915999999999997</v>
      </c>
      <c r="F24" s="6">
        <v>3</v>
      </c>
      <c r="K24" s="9">
        <v>39.371299999999998</v>
      </c>
      <c r="L24" s="6">
        <f t="shared" si="2"/>
        <v>0.45530000000000115</v>
      </c>
      <c r="M24" s="5">
        <f t="shared" si="1"/>
        <v>0.44967901234568014</v>
      </c>
    </row>
    <row r="25" spans="1:27" ht="14.25" customHeight="1" x14ac:dyDescent="0.35">
      <c r="A25" s="6" t="s">
        <v>60</v>
      </c>
      <c r="B25" s="8">
        <v>45803</v>
      </c>
      <c r="C25" s="6" t="s">
        <v>23</v>
      </c>
      <c r="D25" s="6">
        <v>1.0111000000000001</v>
      </c>
      <c r="E25" s="6">
        <v>37.670200000000001</v>
      </c>
      <c r="F25" s="6">
        <v>4</v>
      </c>
      <c r="K25" s="9">
        <v>38.106200000000001</v>
      </c>
      <c r="L25" s="6">
        <f t="shared" si="2"/>
        <v>0.43599999999999994</v>
      </c>
      <c r="M25" s="5">
        <f t="shared" si="1"/>
        <v>0.4312135298190089</v>
      </c>
    </row>
    <row r="26" spans="1:27" ht="14.25" customHeight="1" x14ac:dyDescent="0.35">
      <c r="A26" s="6" t="s">
        <v>61</v>
      </c>
      <c r="B26" s="8">
        <v>45803</v>
      </c>
      <c r="C26" s="6" t="s">
        <v>25</v>
      </c>
      <c r="D26" s="6">
        <v>0.995</v>
      </c>
      <c r="E26" s="6">
        <v>39.038899999999998</v>
      </c>
      <c r="F26" s="6">
        <v>5</v>
      </c>
      <c r="K26" s="10">
        <v>38.298000000000002</v>
      </c>
      <c r="L26" s="11">
        <f t="shared" si="2"/>
        <v>-0.74089999999999634</v>
      </c>
      <c r="M26" s="5">
        <f t="shared" si="1"/>
        <v>-0.74462311557788574</v>
      </c>
    </row>
    <row r="27" spans="1:27" ht="14.25" customHeight="1" x14ac:dyDescent="0.35">
      <c r="A27" s="6" t="s">
        <v>62</v>
      </c>
      <c r="B27" s="8">
        <v>45803</v>
      </c>
      <c r="C27" s="6" t="s">
        <v>27</v>
      </c>
      <c r="D27" s="6">
        <v>1.048</v>
      </c>
      <c r="E27" s="6">
        <v>40.7485</v>
      </c>
      <c r="F27" s="6">
        <v>6</v>
      </c>
      <c r="K27" s="9">
        <v>40.781199999999998</v>
      </c>
      <c r="L27" s="6">
        <f t="shared" si="2"/>
        <v>3.2699999999998397E-2</v>
      </c>
      <c r="M27" s="5">
        <f t="shared" si="1"/>
        <v>3.1202290076334346E-2</v>
      </c>
    </row>
    <row r="28" spans="1:27" ht="14.25" customHeight="1" x14ac:dyDescent="0.35">
      <c r="A28" s="6" t="s">
        <v>63</v>
      </c>
      <c r="B28" s="8">
        <v>45803</v>
      </c>
      <c r="C28" s="6" t="s">
        <v>64</v>
      </c>
      <c r="D28" s="6">
        <v>1.0208999999999999</v>
      </c>
      <c r="E28" s="6">
        <v>37.7864</v>
      </c>
      <c r="F28" s="6">
        <v>7</v>
      </c>
      <c r="K28" s="9">
        <v>38.070500000000003</v>
      </c>
      <c r="L28" s="6">
        <f t="shared" si="2"/>
        <v>0.28410000000000224</v>
      </c>
      <c r="M28" s="5">
        <f t="shared" si="1"/>
        <v>0.27828386717602338</v>
      </c>
    </row>
    <row r="29" spans="1:27" ht="14.25" customHeight="1" x14ac:dyDescent="0.35">
      <c r="A29" s="6" t="s">
        <v>65</v>
      </c>
      <c r="B29" s="8">
        <v>45803</v>
      </c>
      <c r="C29" s="5" t="s">
        <v>66</v>
      </c>
      <c r="D29" s="5">
        <v>1.0212000000000001</v>
      </c>
      <c r="E29" s="5">
        <v>39.75</v>
      </c>
      <c r="F29" s="5">
        <v>8</v>
      </c>
      <c r="G29" s="5"/>
      <c r="H29" s="5"/>
      <c r="I29" s="5"/>
      <c r="J29" s="5"/>
      <c r="K29" s="3">
        <v>40.034300000000002</v>
      </c>
      <c r="L29" s="6">
        <f t="shared" si="2"/>
        <v>0.28430000000000177</v>
      </c>
      <c r="M29" s="5">
        <f t="shared" si="1"/>
        <v>0.27839796318057358</v>
      </c>
      <c r="N29" s="5"/>
      <c r="O29" s="5" t="s">
        <v>67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35">
      <c r="A30" s="6" t="s">
        <v>68</v>
      </c>
      <c r="B30" s="8">
        <v>45803</v>
      </c>
      <c r="C30" s="5" t="s">
        <v>32</v>
      </c>
      <c r="D30" s="5">
        <v>0.99490000000000001</v>
      </c>
      <c r="E30" s="5">
        <v>41.0593</v>
      </c>
      <c r="F30" s="5">
        <v>9</v>
      </c>
      <c r="G30" s="5"/>
      <c r="H30" s="5"/>
      <c r="I30" s="5"/>
      <c r="J30" s="5"/>
      <c r="K30" s="3">
        <v>41.243499999999997</v>
      </c>
      <c r="L30" s="6">
        <f t="shared" si="2"/>
        <v>0.18419999999999703</v>
      </c>
      <c r="M30" s="5">
        <f t="shared" si="1"/>
        <v>0.18514423560156501</v>
      </c>
      <c r="N30" s="5"/>
      <c r="O30" s="5" t="s">
        <v>69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35">
      <c r="A31" s="6" t="s">
        <v>70</v>
      </c>
      <c r="B31" s="8">
        <v>45803</v>
      </c>
      <c r="C31" s="6" t="s">
        <v>34</v>
      </c>
      <c r="D31" s="6">
        <v>1.0138</v>
      </c>
      <c r="E31" s="6">
        <v>37.9041</v>
      </c>
      <c r="F31" s="6">
        <v>10</v>
      </c>
      <c r="K31" s="9">
        <v>38.065300000000001</v>
      </c>
      <c r="L31" s="6">
        <f t="shared" si="2"/>
        <v>0.1612000000000009</v>
      </c>
      <c r="M31" s="5">
        <f t="shared" si="1"/>
        <v>0.15900572104951755</v>
      </c>
    </row>
    <row r="32" spans="1:27" ht="14.25" customHeight="1" x14ac:dyDescent="0.35">
      <c r="A32" s="6" t="s">
        <v>71</v>
      </c>
      <c r="B32" s="8">
        <v>45803</v>
      </c>
      <c r="C32" s="6" t="s">
        <v>36</v>
      </c>
      <c r="D32" s="6">
        <v>0.99019999999999997</v>
      </c>
      <c r="E32" s="6">
        <v>37.628500000000003</v>
      </c>
      <c r="F32" s="6">
        <v>11</v>
      </c>
      <c r="K32" s="9">
        <v>37.669800000000002</v>
      </c>
      <c r="L32" s="6">
        <f t="shared" si="2"/>
        <v>4.129999999999967E-2</v>
      </c>
      <c r="M32" s="5">
        <f t="shared" si="1"/>
        <v>4.1708745707937457E-2</v>
      </c>
    </row>
    <row r="33" spans="1:13" ht="14.25" customHeight="1" x14ac:dyDescent="0.35">
      <c r="A33" s="6" t="s">
        <v>72</v>
      </c>
      <c r="B33" s="8">
        <v>45803</v>
      </c>
      <c r="C33" s="6" t="s">
        <v>38</v>
      </c>
      <c r="D33" s="6">
        <v>0.99560000000000004</v>
      </c>
      <c r="E33" s="6">
        <v>37.768000000000001</v>
      </c>
      <c r="F33" s="6">
        <v>12</v>
      </c>
      <c r="K33" s="9">
        <v>37.780799999999999</v>
      </c>
      <c r="L33" s="6">
        <f t="shared" si="2"/>
        <v>1.279999999999859E-2</v>
      </c>
      <c r="M33" s="5">
        <f t="shared" si="1"/>
        <v>1.2856568903172549E-2</v>
      </c>
    </row>
    <row r="34" spans="1:13" ht="14.25" customHeight="1" x14ac:dyDescent="0.35">
      <c r="A34" s="6" t="s">
        <v>73</v>
      </c>
      <c r="B34" s="8">
        <v>45803</v>
      </c>
      <c r="C34" s="6" t="s">
        <v>40</v>
      </c>
      <c r="D34" s="6">
        <v>1.0128999999999999</v>
      </c>
      <c r="E34" s="6">
        <v>37.839700000000001</v>
      </c>
      <c r="F34" s="6">
        <v>13</v>
      </c>
      <c r="K34" s="9">
        <v>37.933199999999999</v>
      </c>
      <c r="L34" s="6">
        <f t="shared" si="2"/>
        <v>9.3499999999998806E-2</v>
      </c>
      <c r="M34" s="5">
        <f t="shared" si="1"/>
        <v>9.2309211175830602E-2</v>
      </c>
    </row>
    <row r="35" spans="1:13" ht="14.25" customHeight="1" x14ac:dyDescent="0.35">
      <c r="A35" s="6" t="s">
        <v>74</v>
      </c>
      <c r="B35" s="8">
        <v>45803</v>
      </c>
      <c r="C35" s="6" t="s">
        <v>75</v>
      </c>
      <c r="D35" s="6">
        <v>1.0189999999999999</v>
      </c>
      <c r="E35" s="6">
        <v>38.914000000000001</v>
      </c>
      <c r="F35" s="6">
        <v>14</v>
      </c>
      <c r="K35" s="9">
        <v>39.173200000000001</v>
      </c>
      <c r="L35" s="6">
        <f t="shared" si="2"/>
        <v>0.25919999999999987</v>
      </c>
      <c r="M35" s="5">
        <f t="shared" si="1"/>
        <v>0.25436702649656517</v>
      </c>
    </row>
    <row r="36" spans="1:13" ht="14.25" customHeight="1" x14ac:dyDescent="0.35">
      <c r="A36" s="6" t="s">
        <v>76</v>
      </c>
      <c r="B36" s="8">
        <v>45803</v>
      </c>
      <c r="C36" s="6" t="s">
        <v>77</v>
      </c>
      <c r="D36" s="6">
        <v>0.99229999999999996</v>
      </c>
      <c r="E36" s="6">
        <v>37.576300000000003</v>
      </c>
      <c r="F36" s="6">
        <v>15</v>
      </c>
      <c r="K36" s="9">
        <v>38.062800000000003</v>
      </c>
      <c r="L36" s="6">
        <f t="shared" si="2"/>
        <v>0.48649999999999949</v>
      </c>
      <c r="M36" s="5">
        <f t="shared" si="1"/>
        <v>0.49027511841177013</v>
      </c>
    </row>
    <row r="37" spans="1:13" ht="14.25" customHeight="1" x14ac:dyDescent="0.35">
      <c r="A37" s="6" t="s">
        <v>78</v>
      </c>
      <c r="B37" s="8">
        <v>45803</v>
      </c>
      <c r="C37" s="6" t="s">
        <v>46</v>
      </c>
      <c r="D37" s="6">
        <v>0.99950000000000006</v>
      </c>
      <c r="E37" s="6">
        <v>39.183799999999998</v>
      </c>
      <c r="F37" s="6">
        <v>16</v>
      </c>
      <c r="K37" s="10">
        <v>39.606999999999999</v>
      </c>
      <c r="L37" s="11">
        <f t="shared" si="2"/>
        <v>0.42320000000000135</v>
      </c>
      <c r="M37" s="5">
        <f t="shared" si="1"/>
        <v>0.42341170585292781</v>
      </c>
    </row>
    <row r="38" spans="1:13" ht="14.25" customHeight="1" x14ac:dyDescent="0.35">
      <c r="A38" s="6" t="s">
        <v>79</v>
      </c>
      <c r="B38" s="8">
        <v>45803</v>
      </c>
      <c r="C38" s="6" t="s">
        <v>48</v>
      </c>
      <c r="D38" s="6">
        <v>1.0155000000000001</v>
      </c>
      <c r="E38" s="6">
        <v>39.271099999999997</v>
      </c>
      <c r="F38" s="6">
        <v>17</v>
      </c>
      <c r="K38" s="9">
        <v>39.316800000000001</v>
      </c>
      <c r="L38" s="6">
        <f t="shared" si="2"/>
        <v>4.5700000000003627E-2</v>
      </c>
      <c r="M38" s="5">
        <f t="shared" si="1"/>
        <v>4.5002461841460978E-2</v>
      </c>
    </row>
    <row r="39" spans="1:13" ht="14.25" customHeight="1" x14ac:dyDescent="0.35">
      <c r="A39" s="6" t="s">
        <v>80</v>
      </c>
      <c r="B39" s="8">
        <v>45803</v>
      </c>
      <c r="C39" s="6" t="s">
        <v>50</v>
      </c>
      <c r="D39" s="6">
        <v>1.0013000000000001</v>
      </c>
      <c r="E39" s="6">
        <v>39.105600000000003</v>
      </c>
      <c r="F39" s="6">
        <v>18</v>
      </c>
      <c r="K39" s="9">
        <v>39.117100000000001</v>
      </c>
      <c r="L39" s="6">
        <f t="shared" si="2"/>
        <v>1.1499999999998067E-2</v>
      </c>
      <c r="M39" s="5">
        <f t="shared" si="1"/>
        <v>1.1485069409765371E-2</v>
      </c>
    </row>
    <row r="40" spans="1:13" ht="14.25" customHeight="1" x14ac:dyDescent="0.35">
      <c r="A40" s="6" t="s">
        <v>81</v>
      </c>
      <c r="B40" s="8">
        <v>45803</v>
      </c>
      <c r="C40" s="6" t="s">
        <v>52</v>
      </c>
      <c r="D40" s="6">
        <v>1.0164</v>
      </c>
      <c r="E40" s="6">
        <v>38.9771</v>
      </c>
      <c r="F40" s="6">
        <v>19</v>
      </c>
      <c r="K40" s="9">
        <v>39.406599999999997</v>
      </c>
      <c r="L40" s="6">
        <f t="shared" si="2"/>
        <v>0.42949999999999733</v>
      </c>
      <c r="M40" s="5">
        <f t="shared" si="1"/>
        <v>0.42256985438803357</v>
      </c>
    </row>
    <row r="41" spans="1:13" ht="14.25" customHeight="1" x14ac:dyDescent="0.35"/>
    <row r="42" spans="1:13" ht="14.25" customHeight="1" x14ac:dyDescent="0.35"/>
    <row r="43" spans="1:13" ht="14.25" customHeight="1" x14ac:dyDescent="0.35"/>
    <row r="44" spans="1:13" ht="14.25" customHeight="1" x14ac:dyDescent="0.35"/>
    <row r="45" spans="1:13" ht="14.25" customHeight="1" x14ac:dyDescent="0.35"/>
    <row r="46" spans="1:13" ht="14.25" customHeight="1" x14ac:dyDescent="0.35"/>
    <row r="47" spans="1:13" ht="14.25" customHeight="1" x14ac:dyDescent="0.35"/>
    <row r="48" spans="1:1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1"/>
  <sheetViews>
    <sheetView topLeftCell="A7" workbookViewId="0">
      <selection activeCell="D20" sqref="D20"/>
    </sheetView>
  </sheetViews>
  <sheetFormatPr defaultColWidth="12.6328125" defaultRowHeight="15" customHeight="1" x14ac:dyDescent="0.35"/>
  <cols>
    <col min="1" max="1" width="19.90625" style="14" customWidth="1"/>
    <col min="2" max="2" width="19.1796875" style="14" customWidth="1"/>
    <col min="3" max="3" width="18.54296875" style="14" customWidth="1"/>
    <col min="4" max="4" width="19.7265625" style="14" customWidth="1"/>
    <col min="5" max="5" width="12.6328125" style="14" customWidth="1"/>
    <col min="6" max="16384" width="12.6328125" style="14"/>
  </cols>
  <sheetData>
    <row r="1" spans="1:6" ht="15" customHeight="1" x14ac:dyDescent="0.35">
      <c r="B1" s="14" t="s">
        <v>82</v>
      </c>
      <c r="D1" s="14" t="s">
        <v>82</v>
      </c>
    </row>
    <row r="2" spans="1:6" ht="15" customHeight="1" x14ac:dyDescent="0.35">
      <c r="A2" s="14" t="s">
        <v>83</v>
      </c>
      <c r="B2" s="14" t="s">
        <v>84</v>
      </c>
      <c r="C2" s="14" t="s">
        <v>85</v>
      </c>
      <c r="D2" s="14" t="s">
        <v>86</v>
      </c>
      <c r="E2" s="14" t="s">
        <v>155</v>
      </c>
      <c r="F2" s="14" t="s">
        <v>154</v>
      </c>
    </row>
    <row r="3" spans="1:6" ht="15" customHeight="1" x14ac:dyDescent="0.35">
      <c r="A3" s="14" t="s">
        <v>14</v>
      </c>
      <c r="B3" s="14">
        <v>0.52187780324927213</v>
      </c>
      <c r="C3" s="14" t="s">
        <v>14</v>
      </c>
      <c r="D3" s="14">
        <v>0.3989337273616741</v>
      </c>
      <c r="E3" s="14">
        <f>AVERAGE(B3, D3)</f>
        <v>0.46040576530547311</v>
      </c>
      <c r="F3" s="14">
        <v>2</v>
      </c>
    </row>
    <row r="4" spans="1:6" ht="15" customHeight="1" x14ac:dyDescent="0.35">
      <c r="A4" s="14" t="s">
        <v>19</v>
      </c>
      <c r="B4" s="14">
        <v>7.8414599372686175E-2</v>
      </c>
      <c r="C4" s="14" t="s">
        <v>19</v>
      </c>
      <c r="D4" s="14">
        <v>6.4897284157251878E-2</v>
      </c>
      <c r="E4" s="14">
        <f>AVERAGE(B4, D4)</f>
        <v>7.1655941764969033E-2</v>
      </c>
      <c r="F4" s="14">
        <v>2</v>
      </c>
    </row>
    <row r="5" spans="1:6" ht="15" customHeight="1" x14ac:dyDescent="0.35">
      <c r="A5" s="14" t="s">
        <v>21</v>
      </c>
      <c r="B5" s="14">
        <v>0.44967901234568014</v>
      </c>
      <c r="C5" s="14" t="s">
        <v>21</v>
      </c>
      <c r="E5" s="14">
        <f>AVERAGE(B5, D5)</f>
        <v>0.44967901234568014</v>
      </c>
      <c r="F5" s="14">
        <v>2</v>
      </c>
    </row>
    <row r="6" spans="1:6" ht="15" customHeight="1" x14ac:dyDescent="0.35">
      <c r="A6" s="14" t="s">
        <v>23</v>
      </c>
      <c r="B6" s="14">
        <v>0.4312135298190089</v>
      </c>
      <c r="C6" s="14" t="s">
        <v>23</v>
      </c>
      <c r="D6" s="14">
        <v>0.45665443229873132</v>
      </c>
      <c r="E6" s="14">
        <f>AVERAGE(B6, D6)</f>
        <v>0.44393398105887011</v>
      </c>
      <c r="F6" s="14">
        <v>2</v>
      </c>
    </row>
    <row r="7" spans="1:6" ht="15" customHeight="1" x14ac:dyDescent="0.35">
      <c r="A7" s="14" t="s">
        <v>27</v>
      </c>
      <c r="B7" s="14">
        <v>3.1202290076334301E-2</v>
      </c>
      <c r="C7" s="14" t="s">
        <v>27</v>
      </c>
      <c r="D7" s="14">
        <v>0.10585036713633657</v>
      </c>
      <c r="E7" s="14">
        <f>AVERAGE(B7, D7)</f>
        <v>6.8526328606335438E-2</v>
      </c>
      <c r="F7" s="14">
        <v>2</v>
      </c>
    </row>
    <row r="8" spans="1:6" ht="15" customHeight="1" x14ac:dyDescent="0.35">
      <c r="C8" s="14" t="s">
        <v>29</v>
      </c>
      <c r="D8" s="14">
        <v>6.6376368129928212E-2</v>
      </c>
      <c r="E8" s="14">
        <f>AVERAGE(E21)</f>
        <v>0.27828386717602338</v>
      </c>
      <c r="F8" s="14">
        <v>1</v>
      </c>
    </row>
    <row r="9" spans="1:6" ht="15" customHeight="1" x14ac:dyDescent="0.35">
      <c r="C9" s="14" t="s">
        <v>30</v>
      </c>
      <c r="D9" s="14">
        <v>0.22035930536959691</v>
      </c>
      <c r="E9" s="14">
        <f>AVERAGE(D9)</f>
        <v>0.22035930536959691</v>
      </c>
      <c r="F9" s="14">
        <v>1</v>
      </c>
    </row>
    <row r="10" spans="1:6" ht="15" customHeight="1" x14ac:dyDescent="0.35">
      <c r="A10" s="14" t="s">
        <v>34</v>
      </c>
      <c r="B10" s="14">
        <v>0.15900572104951755</v>
      </c>
      <c r="C10" s="14" t="s">
        <v>34</v>
      </c>
      <c r="D10" s="14">
        <v>0.14250049534376857</v>
      </c>
      <c r="E10" s="14">
        <f t="shared" ref="E10:E20" si="0">AVERAGE(B10, D10)</f>
        <v>0.15075310819664306</v>
      </c>
      <c r="F10" s="14">
        <v>2</v>
      </c>
    </row>
    <row r="11" spans="1:6" ht="15" customHeight="1" x14ac:dyDescent="0.35">
      <c r="C11" s="14" t="s">
        <v>36</v>
      </c>
      <c r="D11" s="14">
        <v>0.33937602887800233</v>
      </c>
      <c r="E11" s="14">
        <f>AVERAGE(B11, D11)</f>
        <v>0.33937602887800233</v>
      </c>
      <c r="F11" s="14">
        <v>1</v>
      </c>
    </row>
    <row r="12" spans="1:6" ht="15" customHeight="1" x14ac:dyDescent="0.35">
      <c r="C12" s="14" t="s">
        <v>38</v>
      </c>
      <c r="D12" s="14">
        <v>0.12121392916094904</v>
      </c>
      <c r="E12" s="14">
        <f t="shared" si="0"/>
        <v>0.12121392916094904</v>
      </c>
      <c r="F12" s="14">
        <v>1</v>
      </c>
    </row>
    <row r="13" spans="1:6" ht="15" customHeight="1" x14ac:dyDescent="0.35">
      <c r="C13" s="14" t="s">
        <v>40</v>
      </c>
      <c r="D13" s="14">
        <v>0.28391652709248111</v>
      </c>
      <c r="E13" s="14">
        <f t="shared" si="0"/>
        <v>0.28391652709248111</v>
      </c>
      <c r="F13" s="14">
        <v>1</v>
      </c>
    </row>
    <row r="14" spans="1:6" ht="15" customHeight="1" x14ac:dyDescent="0.35">
      <c r="C14" s="14" t="s">
        <v>42</v>
      </c>
      <c r="D14" s="14">
        <v>0.62986230636833052</v>
      </c>
      <c r="E14" s="14">
        <f t="shared" si="0"/>
        <v>0.62986230636833052</v>
      </c>
      <c r="F14" s="14">
        <v>1</v>
      </c>
    </row>
    <row r="15" spans="1:6" ht="15" customHeight="1" x14ac:dyDescent="0.35">
      <c r="A15" s="14" t="s">
        <v>77</v>
      </c>
      <c r="B15" s="14">
        <v>0.49027511841177013</v>
      </c>
      <c r="C15" s="14" t="s">
        <v>44</v>
      </c>
      <c r="D15" s="14">
        <v>0.55293348392082264</v>
      </c>
      <c r="E15" s="14">
        <f t="shared" si="0"/>
        <v>0.52160430116629641</v>
      </c>
      <c r="F15" s="14">
        <v>2</v>
      </c>
    </row>
    <row r="16" spans="1:6" ht="15" customHeight="1" x14ac:dyDescent="0.35">
      <c r="A16" s="14" t="s">
        <v>46</v>
      </c>
      <c r="B16" s="14">
        <v>0.42341170585292781</v>
      </c>
      <c r="C16" s="14" t="s">
        <v>46</v>
      </c>
      <c r="D16" s="14">
        <v>0.46519343563007287</v>
      </c>
      <c r="E16" s="14">
        <f t="shared" si="0"/>
        <v>0.44430257074150037</v>
      </c>
      <c r="F16" s="14">
        <v>2</v>
      </c>
    </row>
    <row r="17" spans="1:6" ht="15" customHeight="1" x14ac:dyDescent="0.35">
      <c r="C17" s="14" t="s">
        <v>48</v>
      </c>
      <c r="D17" s="14">
        <v>0.50982107355864814</v>
      </c>
      <c r="E17" s="14">
        <f t="shared" si="0"/>
        <v>0.50982107355864814</v>
      </c>
      <c r="F17" s="14">
        <v>1</v>
      </c>
    </row>
    <row r="18" spans="1:6" ht="15" customHeight="1" x14ac:dyDescent="0.35">
      <c r="C18" s="14" t="s">
        <v>50</v>
      </c>
      <c r="D18" s="14">
        <v>0.33977983337662082</v>
      </c>
      <c r="E18" s="14">
        <f t="shared" si="0"/>
        <v>0.33977983337662082</v>
      </c>
      <c r="F18" s="14">
        <v>1</v>
      </c>
    </row>
    <row r="19" spans="1:6" ht="15" customHeight="1" x14ac:dyDescent="0.35">
      <c r="A19" s="14" t="s">
        <v>52</v>
      </c>
      <c r="B19" s="14">
        <v>0.42256985438803357</v>
      </c>
      <c r="C19" s="14" t="s">
        <v>52</v>
      </c>
      <c r="D19" s="14">
        <v>0.70821345524770396</v>
      </c>
      <c r="E19" s="14">
        <f t="shared" si="0"/>
        <v>0.56539165481786879</v>
      </c>
      <c r="F19" s="14">
        <v>1</v>
      </c>
    </row>
    <row r="20" spans="1:6" ht="15" customHeight="1" x14ac:dyDescent="0.35">
      <c r="C20" s="14" t="s">
        <v>126</v>
      </c>
      <c r="D20" s="14">
        <v>0.64424130170679739</v>
      </c>
      <c r="E20" s="14">
        <f t="shared" si="0"/>
        <v>0.64424130170679739</v>
      </c>
      <c r="F20" s="14">
        <v>1</v>
      </c>
    </row>
    <row r="21" spans="1:6" ht="15" customHeight="1" x14ac:dyDescent="0.35">
      <c r="C21" s="14" t="s">
        <v>152</v>
      </c>
      <c r="E21" s="14">
        <v>0.27828386717602338</v>
      </c>
      <c r="F21" s="1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A5DC-E139-4FF8-AEC4-DB76FB471DE1}">
  <dimension ref="A1:C21"/>
  <sheetViews>
    <sheetView topLeftCell="A6" workbookViewId="0">
      <selection activeCell="F12" sqref="F12"/>
    </sheetView>
  </sheetViews>
  <sheetFormatPr defaultRowHeight="14.5" x14ac:dyDescent="0.35"/>
  <cols>
    <col min="3" max="3" width="8.6328125" customWidth="1"/>
  </cols>
  <sheetData>
    <row r="1" spans="1:3" x14ac:dyDescent="0.35">
      <c r="A1" s="14" t="s">
        <v>83</v>
      </c>
      <c r="B1" s="13" t="s">
        <v>156</v>
      </c>
      <c r="C1" s="14" t="s">
        <v>154</v>
      </c>
    </row>
    <row r="2" spans="1:3" x14ac:dyDescent="0.35">
      <c r="A2" s="14" t="s">
        <v>14</v>
      </c>
      <c r="B2">
        <v>0.46040576530547311</v>
      </c>
      <c r="C2" s="14">
        <v>2</v>
      </c>
    </row>
    <row r="3" spans="1:3" x14ac:dyDescent="0.35">
      <c r="A3" s="14" t="s">
        <v>19</v>
      </c>
      <c r="B3">
        <v>7.1655941764969033E-2</v>
      </c>
      <c r="C3" s="14">
        <v>2</v>
      </c>
    </row>
    <row r="4" spans="1:3" x14ac:dyDescent="0.35">
      <c r="A4" s="14" t="s">
        <v>21</v>
      </c>
      <c r="B4">
        <v>0.44967901234568014</v>
      </c>
      <c r="C4" s="14">
        <v>2</v>
      </c>
    </row>
    <row r="5" spans="1:3" x14ac:dyDescent="0.35">
      <c r="A5" s="14" t="s">
        <v>23</v>
      </c>
      <c r="B5">
        <v>0.44393398105887011</v>
      </c>
      <c r="C5" s="14">
        <v>2</v>
      </c>
    </row>
    <row r="6" spans="1:3" x14ac:dyDescent="0.35">
      <c r="A6" s="14" t="s">
        <v>27</v>
      </c>
      <c r="B6">
        <v>6.8526328606335438E-2</v>
      </c>
      <c r="C6" s="14">
        <v>2</v>
      </c>
    </row>
    <row r="7" spans="1:3" x14ac:dyDescent="0.35">
      <c r="A7" s="14" t="s">
        <v>29</v>
      </c>
      <c r="B7">
        <v>0.27828386717602338</v>
      </c>
      <c r="C7" s="14">
        <v>1</v>
      </c>
    </row>
    <row r="8" spans="1:3" x14ac:dyDescent="0.35">
      <c r="A8" s="14" t="s">
        <v>30</v>
      </c>
      <c r="B8">
        <v>0.22035930536959691</v>
      </c>
      <c r="C8" s="14">
        <v>1</v>
      </c>
    </row>
    <row r="9" spans="1:3" x14ac:dyDescent="0.35">
      <c r="A9" s="14" t="s">
        <v>34</v>
      </c>
      <c r="B9">
        <v>0.15075310819664306</v>
      </c>
      <c r="C9" s="14">
        <v>2</v>
      </c>
    </row>
    <row r="10" spans="1:3" x14ac:dyDescent="0.35">
      <c r="A10" s="14" t="s">
        <v>36</v>
      </c>
      <c r="B10">
        <v>0.33937602887800233</v>
      </c>
      <c r="C10" s="14">
        <v>1</v>
      </c>
    </row>
    <row r="11" spans="1:3" x14ac:dyDescent="0.35">
      <c r="A11" s="14" t="s">
        <v>38</v>
      </c>
      <c r="B11">
        <v>0.12121392916094904</v>
      </c>
      <c r="C11" s="14">
        <v>1</v>
      </c>
    </row>
    <row r="12" spans="1:3" x14ac:dyDescent="0.35">
      <c r="A12" s="14" t="s">
        <v>40</v>
      </c>
      <c r="B12">
        <v>0.28391652709248111</v>
      </c>
      <c r="C12" s="14">
        <v>1</v>
      </c>
    </row>
    <row r="13" spans="1:3" x14ac:dyDescent="0.35">
      <c r="A13" s="14" t="s">
        <v>42</v>
      </c>
      <c r="B13">
        <v>0.62986230636833052</v>
      </c>
      <c r="C13" s="14">
        <v>1</v>
      </c>
    </row>
    <row r="14" spans="1:3" x14ac:dyDescent="0.35">
      <c r="A14" s="14" t="s">
        <v>44</v>
      </c>
      <c r="B14">
        <v>0.52160430116629641</v>
      </c>
      <c r="C14" s="14">
        <v>2</v>
      </c>
    </row>
    <row r="15" spans="1:3" x14ac:dyDescent="0.35">
      <c r="A15" s="14" t="s">
        <v>46</v>
      </c>
      <c r="B15">
        <v>0.44430257074150037</v>
      </c>
      <c r="C15" s="14">
        <v>2</v>
      </c>
    </row>
    <row r="16" spans="1:3" x14ac:dyDescent="0.35">
      <c r="A16" s="14" t="s">
        <v>48</v>
      </c>
      <c r="B16">
        <v>0.50982107355864814</v>
      </c>
      <c r="C16" s="14">
        <v>1</v>
      </c>
    </row>
    <row r="17" spans="1:3" x14ac:dyDescent="0.35">
      <c r="A17" s="14" t="s">
        <v>50</v>
      </c>
      <c r="B17">
        <v>0.33977983337662082</v>
      </c>
      <c r="C17" s="14">
        <v>1</v>
      </c>
    </row>
    <row r="18" spans="1:3" x14ac:dyDescent="0.35">
      <c r="A18" s="14" t="s">
        <v>52</v>
      </c>
      <c r="B18">
        <v>0.56539165481786879</v>
      </c>
      <c r="C18" s="14">
        <v>1</v>
      </c>
    </row>
    <row r="19" spans="1:3" x14ac:dyDescent="0.35">
      <c r="A19" s="14" t="s">
        <v>126</v>
      </c>
      <c r="B19">
        <v>0.64424130170679739</v>
      </c>
      <c r="C19" s="14">
        <v>1</v>
      </c>
    </row>
    <row r="20" spans="1:3" x14ac:dyDescent="0.35">
      <c r="A20" s="14" t="s">
        <v>152</v>
      </c>
      <c r="B20">
        <v>0.27828386717602338</v>
      </c>
      <c r="C20" s="14">
        <v>2</v>
      </c>
    </row>
    <row r="21" spans="1:3" x14ac:dyDescent="0.35">
      <c r="A21" s="14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" customHeight="1" x14ac:dyDescent="0.35"/>
  <cols>
    <col min="1" max="26" width="8.6328125" customWidth="1"/>
  </cols>
  <sheetData>
    <row r="1" spans="1:26" ht="14.25" customHeight="1" x14ac:dyDescent="0.3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6" t="s">
        <v>14</v>
      </c>
      <c r="B2" s="6" t="s">
        <v>93</v>
      </c>
      <c r="C2" s="6" t="s">
        <v>94</v>
      </c>
      <c r="D2" s="6" t="s">
        <v>95</v>
      </c>
      <c r="E2" s="6" t="s">
        <v>96</v>
      </c>
      <c r="F2" s="6" t="s">
        <v>97</v>
      </c>
    </row>
    <row r="3" spans="1:26" ht="14.25" customHeight="1" x14ac:dyDescent="0.35">
      <c r="A3" s="6" t="s">
        <v>19</v>
      </c>
      <c r="B3" s="6" t="s">
        <v>98</v>
      </c>
      <c r="C3" s="6" t="s">
        <v>94</v>
      </c>
      <c r="D3" s="6" t="s">
        <v>95</v>
      </c>
      <c r="E3" s="6" t="s">
        <v>99</v>
      </c>
      <c r="F3" s="6" t="s">
        <v>97</v>
      </c>
    </row>
    <row r="4" spans="1:26" ht="14.25" customHeight="1" x14ac:dyDescent="0.35">
      <c r="A4" s="6" t="s">
        <v>21</v>
      </c>
      <c r="B4" s="6" t="s">
        <v>100</v>
      </c>
      <c r="C4" s="6" t="s">
        <v>94</v>
      </c>
      <c r="D4" s="6" t="s">
        <v>95</v>
      </c>
      <c r="E4" s="6" t="s">
        <v>101</v>
      </c>
      <c r="F4" s="6" t="s">
        <v>102</v>
      </c>
    </row>
    <row r="5" spans="1:26" ht="14.25" customHeight="1" x14ac:dyDescent="0.35">
      <c r="A5" s="6" t="s">
        <v>23</v>
      </c>
      <c r="B5" s="6" t="s">
        <v>98</v>
      </c>
      <c r="C5" s="6" t="s">
        <v>103</v>
      </c>
      <c r="D5" s="6" t="s">
        <v>95</v>
      </c>
      <c r="E5" s="6" t="s">
        <v>104</v>
      </c>
      <c r="F5" s="6" t="s">
        <v>102</v>
      </c>
    </row>
    <row r="6" spans="1:26" ht="14.25" customHeight="1" x14ac:dyDescent="0.35">
      <c r="A6" s="6" t="s">
        <v>25</v>
      </c>
      <c r="B6" s="6" t="s">
        <v>105</v>
      </c>
      <c r="C6" s="6" t="s">
        <v>94</v>
      </c>
      <c r="D6" s="6" t="s">
        <v>95</v>
      </c>
      <c r="E6" s="6" t="s">
        <v>106</v>
      </c>
      <c r="F6" s="6" t="s">
        <v>107</v>
      </c>
    </row>
    <row r="7" spans="1:26" ht="14.25" customHeight="1" x14ac:dyDescent="0.35">
      <c r="A7" s="6" t="s">
        <v>27</v>
      </c>
      <c r="B7" s="6" t="s">
        <v>100</v>
      </c>
      <c r="C7" s="6" t="s">
        <v>108</v>
      </c>
      <c r="D7" s="6" t="s">
        <v>95</v>
      </c>
      <c r="E7" s="6" t="s">
        <v>109</v>
      </c>
      <c r="F7" s="6" t="s">
        <v>107</v>
      </c>
    </row>
    <row r="8" spans="1:26" ht="14.25" customHeight="1" x14ac:dyDescent="0.35">
      <c r="A8" s="12" t="s">
        <v>110</v>
      </c>
      <c r="B8" s="12" t="s">
        <v>93</v>
      </c>
      <c r="C8" s="12" t="s">
        <v>108</v>
      </c>
      <c r="D8" s="12" t="s">
        <v>95</v>
      </c>
      <c r="E8" s="12" t="s">
        <v>111</v>
      </c>
      <c r="F8" s="12" t="s">
        <v>107</v>
      </c>
    </row>
    <row r="9" spans="1:26" ht="14.25" customHeight="1" x14ac:dyDescent="0.35">
      <c r="A9" s="6" t="s">
        <v>30</v>
      </c>
      <c r="B9" s="6" t="s">
        <v>112</v>
      </c>
      <c r="C9" s="6" t="s">
        <v>108</v>
      </c>
      <c r="D9" s="6" t="s">
        <v>95</v>
      </c>
      <c r="E9" s="6" t="s">
        <v>113</v>
      </c>
      <c r="F9" s="6" t="s">
        <v>107</v>
      </c>
    </row>
    <row r="10" spans="1:26" ht="14.25" customHeight="1" x14ac:dyDescent="0.35">
      <c r="A10" s="6" t="s">
        <v>32</v>
      </c>
      <c r="B10" s="6" t="s">
        <v>98</v>
      </c>
      <c r="C10" s="6" t="s">
        <v>108</v>
      </c>
      <c r="D10" s="6" t="s">
        <v>95</v>
      </c>
      <c r="E10" s="6" t="s">
        <v>114</v>
      </c>
      <c r="F10" s="6" t="s">
        <v>115</v>
      </c>
    </row>
    <row r="11" spans="1:26" ht="14.25" customHeight="1" x14ac:dyDescent="0.35">
      <c r="A11" s="6" t="s">
        <v>34</v>
      </c>
      <c r="B11" s="6" t="s">
        <v>93</v>
      </c>
      <c r="C11" s="6" t="s">
        <v>94</v>
      </c>
      <c r="D11" s="6" t="s">
        <v>116</v>
      </c>
      <c r="E11" s="6" t="s">
        <v>114</v>
      </c>
      <c r="F11" s="6" t="s">
        <v>115</v>
      </c>
    </row>
    <row r="12" spans="1:26" ht="14.25" customHeight="1" x14ac:dyDescent="0.35">
      <c r="A12" s="6" t="s">
        <v>36</v>
      </c>
      <c r="B12" s="6" t="s">
        <v>98</v>
      </c>
      <c r="C12" s="6" t="s">
        <v>94</v>
      </c>
      <c r="D12" s="6" t="s">
        <v>116</v>
      </c>
      <c r="E12" s="6" t="s">
        <v>114</v>
      </c>
      <c r="F12" s="6" t="s">
        <v>115</v>
      </c>
    </row>
    <row r="13" spans="1:26" ht="14.25" customHeight="1" x14ac:dyDescent="0.35">
      <c r="A13" s="6" t="s">
        <v>38</v>
      </c>
      <c r="B13" s="6" t="s">
        <v>112</v>
      </c>
      <c r="C13" s="6" t="s">
        <v>94</v>
      </c>
      <c r="D13" s="6" t="s">
        <v>116</v>
      </c>
      <c r="E13" s="6" t="s">
        <v>114</v>
      </c>
      <c r="F13" s="6" t="s">
        <v>115</v>
      </c>
    </row>
    <row r="14" spans="1:26" ht="14.25" customHeight="1" x14ac:dyDescent="0.35">
      <c r="A14" s="6" t="s">
        <v>40</v>
      </c>
      <c r="B14" s="6" t="s">
        <v>93</v>
      </c>
      <c r="C14" s="6" t="s">
        <v>117</v>
      </c>
      <c r="D14" s="6" t="s">
        <v>95</v>
      </c>
      <c r="E14" s="6" t="s">
        <v>114</v>
      </c>
      <c r="F14" s="6" t="s">
        <v>97</v>
      </c>
    </row>
    <row r="15" spans="1:26" ht="14.25" customHeight="1" x14ac:dyDescent="0.35">
      <c r="A15" s="6" t="s">
        <v>42</v>
      </c>
      <c r="B15" s="6" t="s">
        <v>98</v>
      </c>
      <c r="C15" s="6" t="s">
        <v>117</v>
      </c>
      <c r="D15" s="6" t="s">
        <v>95</v>
      </c>
      <c r="E15" s="6" t="s">
        <v>118</v>
      </c>
      <c r="F15" s="6" t="s">
        <v>102</v>
      </c>
    </row>
    <row r="16" spans="1:26" ht="14.25" customHeight="1" x14ac:dyDescent="0.35">
      <c r="A16" s="6" t="s">
        <v>44</v>
      </c>
      <c r="B16" s="6" t="s">
        <v>112</v>
      </c>
      <c r="C16" s="6" t="s">
        <v>117</v>
      </c>
      <c r="D16" s="6" t="s">
        <v>95</v>
      </c>
      <c r="E16" s="6" t="s">
        <v>119</v>
      </c>
      <c r="F16" s="6" t="s">
        <v>107</v>
      </c>
    </row>
    <row r="17" spans="1:6" ht="14.25" customHeight="1" x14ac:dyDescent="0.35">
      <c r="A17" s="6" t="s">
        <v>46</v>
      </c>
      <c r="B17" s="6" t="s">
        <v>93</v>
      </c>
      <c r="C17" s="6" t="s">
        <v>120</v>
      </c>
      <c r="D17" s="6" t="s">
        <v>121</v>
      </c>
      <c r="E17" s="6" t="s">
        <v>114</v>
      </c>
      <c r="F17" s="6" t="s">
        <v>102</v>
      </c>
    </row>
    <row r="18" spans="1:6" ht="14.25" customHeight="1" x14ac:dyDescent="0.35">
      <c r="A18" s="6" t="s">
        <v>48</v>
      </c>
      <c r="B18" s="6" t="s">
        <v>98</v>
      </c>
      <c r="C18" s="6" t="s">
        <v>120</v>
      </c>
      <c r="D18" s="6" t="s">
        <v>121</v>
      </c>
      <c r="E18" s="6" t="s">
        <v>114</v>
      </c>
      <c r="F18" s="6" t="s">
        <v>115</v>
      </c>
    </row>
    <row r="19" spans="1:6" ht="14.25" customHeight="1" x14ac:dyDescent="0.35">
      <c r="A19" s="6" t="s">
        <v>50</v>
      </c>
      <c r="B19" s="6" t="s">
        <v>100</v>
      </c>
      <c r="C19" s="6" t="s">
        <v>120</v>
      </c>
      <c r="D19" s="6" t="s">
        <v>121</v>
      </c>
      <c r="E19" s="6" t="s">
        <v>114</v>
      </c>
      <c r="F19" s="6" t="s">
        <v>102</v>
      </c>
    </row>
    <row r="20" spans="1:6" ht="14.25" customHeight="1" x14ac:dyDescent="0.35">
      <c r="A20" s="9" t="s">
        <v>52</v>
      </c>
      <c r="B20" s="9">
        <v>5</v>
      </c>
      <c r="C20" s="6" t="s">
        <v>120</v>
      </c>
      <c r="D20" s="6" t="s">
        <v>121</v>
      </c>
      <c r="E20" s="6" t="s">
        <v>114</v>
      </c>
      <c r="F20" s="6" t="s">
        <v>115</v>
      </c>
    </row>
    <row r="21" spans="1:6" ht="14.25" customHeight="1" x14ac:dyDescent="0.35">
      <c r="A21" s="6" t="s">
        <v>54</v>
      </c>
      <c r="B21" s="9" t="s">
        <v>93</v>
      </c>
      <c r="C21" s="6" t="s">
        <v>122</v>
      </c>
      <c r="D21" s="6" t="s">
        <v>95</v>
      </c>
      <c r="E21" s="6" t="s">
        <v>114</v>
      </c>
      <c r="F21" s="6" t="s">
        <v>123</v>
      </c>
    </row>
    <row r="22" spans="1:6" ht="14.25" customHeight="1" x14ac:dyDescent="0.35">
      <c r="A22" s="6" t="s">
        <v>56</v>
      </c>
      <c r="B22" s="6" t="s">
        <v>124</v>
      </c>
      <c r="C22" s="6" t="s">
        <v>125</v>
      </c>
      <c r="D22" s="6" t="s">
        <v>95</v>
      </c>
      <c r="E22" s="6" t="s">
        <v>114</v>
      </c>
      <c r="F22" s="6" t="s">
        <v>123</v>
      </c>
    </row>
    <row r="23" spans="1:6" ht="14.25" customHeight="1" x14ac:dyDescent="0.35">
      <c r="A23" s="6" t="s">
        <v>126</v>
      </c>
      <c r="B23" s="6" t="s">
        <v>112</v>
      </c>
      <c r="C23" s="6" t="s">
        <v>122</v>
      </c>
      <c r="D23" s="6" t="s">
        <v>95</v>
      </c>
      <c r="E23" s="6" t="s">
        <v>114</v>
      </c>
      <c r="F23" s="6" t="s">
        <v>123</v>
      </c>
    </row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4"/>
  <sheetViews>
    <sheetView workbookViewId="0"/>
  </sheetViews>
  <sheetFormatPr defaultColWidth="12.6328125" defaultRowHeight="15" customHeight="1" x14ac:dyDescent="0.35"/>
  <cols>
    <col min="1" max="27" width="8.6328125" customWidth="1"/>
  </cols>
  <sheetData>
    <row r="1" spans="1:5" ht="14.25" customHeight="1" x14ac:dyDescent="0.35">
      <c r="A1" s="9" t="s">
        <v>83</v>
      </c>
      <c r="B1" s="9" t="s">
        <v>89</v>
      </c>
      <c r="C1" s="9" t="s">
        <v>127</v>
      </c>
      <c r="E1" s="9" t="s">
        <v>128</v>
      </c>
    </row>
    <row r="2" spans="1:5" ht="14.25" customHeight="1" x14ac:dyDescent="0.35">
      <c r="A2" s="9" t="s">
        <v>14</v>
      </c>
      <c r="B2" s="9" t="s">
        <v>94</v>
      </c>
      <c r="C2" s="9">
        <v>1</v>
      </c>
      <c r="E2" s="6">
        <f>SUM(C2:C29)</f>
        <v>41</v>
      </c>
    </row>
    <row r="3" spans="1:5" ht="14.25" customHeight="1" x14ac:dyDescent="0.35">
      <c r="A3" s="6" t="s">
        <v>21</v>
      </c>
      <c r="B3" s="9" t="s">
        <v>94</v>
      </c>
      <c r="C3" s="9">
        <v>1</v>
      </c>
    </row>
    <row r="4" spans="1:5" ht="14.25" customHeight="1" x14ac:dyDescent="0.35">
      <c r="A4" s="6" t="s">
        <v>23</v>
      </c>
      <c r="B4" s="9" t="s">
        <v>94</v>
      </c>
      <c r="C4" s="9">
        <v>1</v>
      </c>
    </row>
    <row r="5" spans="1:5" ht="14.25" customHeight="1" x14ac:dyDescent="0.35">
      <c r="A5" s="9" t="s">
        <v>64</v>
      </c>
      <c r="B5" s="9" t="s">
        <v>129</v>
      </c>
      <c r="C5" s="9">
        <v>1</v>
      </c>
    </row>
    <row r="6" spans="1:5" ht="14.25" customHeight="1" x14ac:dyDescent="0.35">
      <c r="A6" s="3" t="s">
        <v>66</v>
      </c>
      <c r="B6" s="9" t="s">
        <v>129</v>
      </c>
      <c r="C6" s="9">
        <v>1</v>
      </c>
    </row>
    <row r="7" spans="1:5" ht="14.25" customHeight="1" x14ac:dyDescent="0.35">
      <c r="A7" s="5" t="s">
        <v>32</v>
      </c>
      <c r="B7" s="9" t="s">
        <v>129</v>
      </c>
      <c r="C7" s="9">
        <v>1</v>
      </c>
    </row>
    <row r="8" spans="1:5" ht="14.25" customHeight="1" x14ac:dyDescent="0.35">
      <c r="A8" s="9" t="s">
        <v>34</v>
      </c>
      <c r="B8" s="9" t="s">
        <v>130</v>
      </c>
      <c r="C8" s="9">
        <v>1</v>
      </c>
    </row>
    <row r="9" spans="1:5" ht="14.25" customHeight="1" x14ac:dyDescent="0.35">
      <c r="A9" s="6" t="s">
        <v>40</v>
      </c>
      <c r="B9" s="9" t="s">
        <v>131</v>
      </c>
      <c r="C9" s="9">
        <v>1</v>
      </c>
    </row>
    <row r="10" spans="1:5" ht="14.25" customHeight="1" x14ac:dyDescent="0.35">
      <c r="A10" s="6" t="s">
        <v>75</v>
      </c>
      <c r="B10" s="9" t="s">
        <v>131</v>
      </c>
      <c r="C10" s="9">
        <v>1</v>
      </c>
    </row>
    <row r="11" spans="1:5" ht="14.25" customHeight="1" x14ac:dyDescent="0.35">
      <c r="A11" s="6" t="s">
        <v>77</v>
      </c>
      <c r="B11" s="9" t="s">
        <v>131</v>
      </c>
      <c r="C11" s="9">
        <v>1</v>
      </c>
    </row>
    <row r="12" spans="1:5" ht="14.25" customHeight="1" x14ac:dyDescent="0.35">
      <c r="A12" s="6" t="s">
        <v>46</v>
      </c>
      <c r="B12" s="9" t="s">
        <v>132</v>
      </c>
      <c r="C12" s="9">
        <v>1</v>
      </c>
    </row>
    <row r="13" spans="1:5" ht="14.25" customHeight="1" x14ac:dyDescent="0.35">
      <c r="A13" s="9" t="s">
        <v>52</v>
      </c>
      <c r="B13" s="9" t="s">
        <v>132</v>
      </c>
      <c r="C13" s="9">
        <v>1</v>
      </c>
    </row>
    <row r="14" spans="1:5" ht="14.25" customHeight="1" x14ac:dyDescent="0.35">
      <c r="A14" s="9" t="s">
        <v>133</v>
      </c>
      <c r="B14" s="9" t="s">
        <v>134</v>
      </c>
      <c r="C14" s="9">
        <v>1</v>
      </c>
    </row>
    <row r="15" spans="1:5" ht="14.25" customHeight="1" x14ac:dyDescent="0.35">
      <c r="A15" s="9" t="s">
        <v>135</v>
      </c>
      <c r="B15" s="9" t="s">
        <v>134</v>
      </c>
      <c r="C15" s="9">
        <v>1</v>
      </c>
    </row>
    <row r="16" spans="1:5" ht="14.25" customHeight="1" x14ac:dyDescent="0.35">
      <c r="A16" s="9" t="s">
        <v>136</v>
      </c>
      <c r="B16" s="9" t="s">
        <v>134</v>
      </c>
      <c r="C16" s="9">
        <v>1</v>
      </c>
    </row>
    <row r="17" spans="1:3" ht="14.25" customHeight="1" x14ac:dyDescent="0.35">
      <c r="A17" s="9" t="s">
        <v>137</v>
      </c>
      <c r="B17" s="9" t="s">
        <v>134</v>
      </c>
      <c r="C17" s="9">
        <v>2</v>
      </c>
    </row>
    <row r="18" spans="1:3" ht="14.25" customHeight="1" x14ac:dyDescent="0.35">
      <c r="A18" s="9" t="s">
        <v>138</v>
      </c>
      <c r="B18" s="9" t="s">
        <v>134</v>
      </c>
      <c r="C18" s="9">
        <v>2</v>
      </c>
    </row>
    <row r="19" spans="1:3" ht="14.25" customHeight="1" x14ac:dyDescent="0.35">
      <c r="A19" s="9" t="s">
        <v>139</v>
      </c>
      <c r="B19" s="9" t="s">
        <v>134</v>
      </c>
      <c r="C19" s="9">
        <v>2</v>
      </c>
    </row>
    <row r="20" spans="1:3" ht="14.25" customHeight="1" x14ac:dyDescent="0.35">
      <c r="A20" s="9" t="s">
        <v>140</v>
      </c>
      <c r="B20" s="9" t="s">
        <v>94</v>
      </c>
      <c r="C20" s="9">
        <v>2</v>
      </c>
    </row>
    <row r="21" spans="1:3" ht="14.25" customHeight="1" x14ac:dyDescent="0.35">
      <c r="A21" s="9" t="s">
        <v>141</v>
      </c>
      <c r="B21" s="9" t="s">
        <v>94</v>
      </c>
      <c r="C21" s="9">
        <v>2</v>
      </c>
    </row>
    <row r="22" spans="1:3" ht="14.25" customHeight="1" x14ac:dyDescent="0.35">
      <c r="A22" s="9" t="s">
        <v>142</v>
      </c>
      <c r="B22" s="9" t="s">
        <v>131</v>
      </c>
      <c r="C22" s="9">
        <v>2</v>
      </c>
    </row>
    <row r="23" spans="1:3" ht="14.25" customHeight="1" x14ac:dyDescent="0.35">
      <c r="A23" s="9" t="s">
        <v>143</v>
      </c>
      <c r="B23" s="9" t="s">
        <v>129</v>
      </c>
      <c r="C23" s="9">
        <v>2</v>
      </c>
    </row>
    <row r="24" spans="1:3" ht="14.25" customHeight="1" x14ac:dyDescent="0.35">
      <c r="A24" s="9" t="s">
        <v>144</v>
      </c>
      <c r="B24" s="9" t="s">
        <v>129</v>
      </c>
      <c r="C24" s="9">
        <v>2</v>
      </c>
    </row>
    <row r="25" spans="1:3" ht="14.25" customHeight="1" x14ac:dyDescent="0.35">
      <c r="A25" s="9" t="s">
        <v>145</v>
      </c>
      <c r="B25" s="9" t="s">
        <v>120</v>
      </c>
      <c r="C25" s="9">
        <v>2</v>
      </c>
    </row>
    <row r="26" spans="1:3" ht="14.25" customHeight="1" x14ac:dyDescent="0.35">
      <c r="A26" s="9" t="s">
        <v>146</v>
      </c>
      <c r="B26" s="9" t="s">
        <v>120</v>
      </c>
      <c r="C26" s="9">
        <v>2</v>
      </c>
    </row>
    <row r="27" spans="1:3" ht="14.25" customHeight="1" x14ac:dyDescent="0.35">
      <c r="A27" s="9" t="s">
        <v>147</v>
      </c>
      <c r="B27" s="9" t="s">
        <v>132</v>
      </c>
      <c r="C27" s="9">
        <v>2</v>
      </c>
    </row>
    <row r="28" spans="1:3" ht="14.25" customHeight="1" x14ac:dyDescent="0.35">
      <c r="A28" s="9" t="s">
        <v>148</v>
      </c>
      <c r="B28" s="9" t="s">
        <v>149</v>
      </c>
      <c r="C28" s="9">
        <v>2</v>
      </c>
    </row>
    <row r="29" spans="1:3" ht="14.25" customHeight="1" x14ac:dyDescent="0.35">
      <c r="A29" s="9" t="s">
        <v>150</v>
      </c>
      <c r="B29" s="9" t="s">
        <v>149</v>
      </c>
      <c r="C29" s="9">
        <v>2</v>
      </c>
    </row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activeCell="A10" sqref="A10"/>
    </sheetView>
  </sheetViews>
  <sheetFormatPr defaultColWidth="12.6328125" defaultRowHeight="15" customHeight="1" x14ac:dyDescent="0.35"/>
  <cols>
    <col min="1" max="2" width="8.6328125" customWidth="1"/>
    <col min="4" max="26" width="8.6328125" customWidth="1"/>
  </cols>
  <sheetData>
    <row r="1" spans="1:2" ht="14.25" customHeight="1" x14ac:dyDescent="0.35">
      <c r="A1" s="6" t="s">
        <v>5</v>
      </c>
      <c r="B1" s="13" t="s">
        <v>156</v>
      </c>
    </row>
    <row r="2" spans="1:2" ht="14.25" customHeight="1" x14ac:dyDescent="0.35">
      <c r="A2" s="6">
        <v>1</v>
      </c>
      <c r="B2" s="6">
        <v>35.458100000000002</v>
      </c>
    </row>
    <row r="3" spans="1:2" ht="14.25" customHeight="1" x14ac:dyDescent="0.35">
      <c r="A3" s="6">
        <v>2</v>
      </c>
      <c r="B3" s="6">
        <v>39.059699999999999</v>
      </c>
    </row>
    <row r="4" spans="1:2" ht="14.25" customHeight="1" x14ac:dyDescent="0.35">
      <c r="A4" s="6">
        <v>3</v>
      </c>
      <c r="B4" s="6">
        <v>38.915999999999997</v>
      </c>
    </row>
    <row r="5" spans="1:2" ht="14.25" customHeight="1" x14ac:dyDescent="0.35">
      <c r="A5" s="6">
        <v>4</v>
      </c>
      <c r="B5" s="6">
        <v>37.670200000000001</v>
      </c>
    </row>
    <row r="6" spans="1:2" ht="14.25" customHeight="1" x14ac:dyDescent="0.35">
      <c r="A6" s="6">
        <v>5</v>
      </c>
      <c r="B6" s="6">
        <v>39.038899999999998</v>
      </c>
    </row>
    <row r="7" spans="1:2" ht="14.25" customHeight="1" x14ac:dyDescent="0.35">
      <c r="A7" s="6">
        <v>6</v>
      </c>
      <c r="B7" s="6">
        <v>40.7485</v>
      </c>
    </row>
    <row r="8" spans="1:2" ht="14.25" customHeight="1" x14ac:dyDescent="0.35">
      <c r="A8" s="6">
        <v>7</v>
      </c>
      <c r="B8" s="6">
        <v>37.7864</v>
      </c>
    </row>
    <row r="9" spans="1:2" ht="14.25" customHeight="1" x14ac:dyDescent="0.35">
      <c r="A9" s="6">
        <v>8</v>
      </c>
      <c r="B9" s="6">
        <v>39.75</v>
      </c>
    </row>
    <row r="10" spans="1:2" ht="14.25" customHeight="1" x14ac:dyDescent="0.35">
      <c r="A10" s="6">
        <v>9</v>
      </c>
      <c r="B10" s="6">
        <v>41.0593</v>
      </c>
    </row>
    <row r="11" spans="1:2" ht="14.25" customHeight="1" x14ac:dyDescent="0.35">
      <c r="A11" s="6">
        <v>10</v>
      </c>
      <c r="B11" s="6">
        <v>37.9041</v>
      </c>
    </row>
    <row r="12" spans="1:2" ht="14.25" customHeight="1" x14ac:dyDescent="0.35">
      <c r="A12" s="6">
        <v>11</v>
      </c>
      <c r="B12" s="6">
        <v>37.628500000000003</v>
      </c>
    </row>
    <row r="13" spans="1:2" ht="14.25" customHeight="1" x14ac:dyDescent="0.35">
      <c r="A13" s="6">
        <v>12.1</v>
      </c>
      <c r="B13" s="6">
        <v>37.768000000000001</v>
      </c>
    </row>
    <row r="14" spans="1:2" ht="14.25" customHeight="1" x14ac:dyDescent="0.35">
      <c r="A14" s="6">
        <v>13</v>
      </c>
      <c r="B14" s="6">
        <v>37.839700000000001</v>
      </c>
    </row>
    <row r="15" spans="1:2" ht="14.25" customHeight="1" x14ac:dyDescent="0.35">
      <c r="A15" s="6">
        <v>14</v>
      </c>
      <c r="B15" s="6">
        <v>38.914000000000001</v>
      </c>
    </row>
    <row r="16" spans="1:2" ht="14.25" customHeight="1" x14ac:dyDescent="0.35">
      <c r="A16" s="6">
        <v>15</v>
      </c>
      <c r="B16" s="6">
        <v>37.576300000000003</v>
      </c>
    </row>
    <row r="17" spans="1:2" ht="14.25" customHeight="1" x14ac:dyDescent="0.35">
      <c r="A17" s="6">
        <v>16</v>
      </c>
      <c r="B17" s="6">
        <v>39.183799999999998</v>
      </c>
    </row>
    <row r="18" spans="1:2" ht="14.25" customHeight="1" x14ac:dyDescent="0.35">
      <c r="A18" s="6">
        <v>17</v>
      </c>
      <c r="B18" s="6">
        <v>39.271099999999997</v>
      </c>
    </row>
    <row r="19" spans="1:2" ht="14.25" customHeight="1" x14ac:dyDescent="0.35">
      <c r="A19" s="6">
        <v>18</v>
      </c>
      <c r="B19" s="6">
        <v>39.105600000000003</v>
      </c>
    </row>
    <row r="20" spans="1:2" ht="14.25" customHeight="1" x14ac:dyDescent="0.35">
      <c r="A20" s="6">
        <v>19</v>
      </c>
      <c r="B20" s="6">
        <v>38.9771</v>
      </c>
    </row>
    <row r="21" spans="1:2" ht="14.25" customHeight="1" x14ac:dyDescent="0.35"/>
    <row r="22" spans="1:2" ht="14.25" customHeight="1" x14ac:dyDescent="0.35"/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spans="2:2" ht="14.25" customHeight="1" x14ac:dyDescent="0.35">
      <c r="B33" s="6">
        <v>37.839700000000001</v>
      </c>
    </row>
    <row r="34" spans="2:2" ht="14.25" customHeight="1" x14ac:dyDescent="0.35"/>
    <row r="35" spans="2:2" ht="14.25" customHeight="1" x14ac:dyDescent="0.35"/>
    <row r="36" spans="2:2" ht="14.25" customHeight="1" x14ac:dyDescent="0.35"/>
    <row r="37" spans="2:2" ht="14.25" customHeight="1" x14ac:dyDescent="0.35"/>
    <row r="38" spans="2:2" ht="14.25" customHeight="1" x14ac:dyDescent="0.35"/>
    <row r="39" spans="2:2" ht="14.25" customHeight="1" x14ac:dyDescent="0.35"/>
    <row r="40" spans="2:2" ht="14.25" customHeight="1" x14ac:dyDescent="0.35"/>
    <row r="41" spans="2:2" ht="14.25" customHeight="1" x14ac:dyDescent="0.35"/>
    <row r="42" spans="2:2" ht="14.25" customHeight="1" x14ac:dyDescent="0.35"/>
    <row r="43" spans="2:2" ht="14.25" customHeight="1" x14ac:dyDescent="0.35"/>
    <row r="44" spans="2:2" ht="14.25" customHeight="1" x14ac:dyDescent="0.35"/>
    <row r="45" spans="2:2" ht="14.25" customHeight="1" x14ac:dyDescent="0.35"/>
    <row r="46" spans="2:2" ht="14.25" customHeight="1" x14ac:dyDescent="0.35"/>
    <row r="47" spans="2:2" ht="14.25" customHeight="1" x14ac:dyDescent="0.35"/>
    <row r="48" spans="2:2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replicate calc</vt:lpstr>
      <vt:lpstr>final replicates</vt:lpstr>
      <vt:lpstr>replicates_info_copy</vt:lpstr>
      <vt:lpstr>quefalta</vt:lpstr>
      <vt:lpstr>petri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Eakes</dc:creator>
  <cp:lastModifiedBy>Trevor Eakes</cp:lastModifiedBy>
  <dcterms:created xsi:type="dcterms:W3CDTF">2025-05-17T15:33:56Z</dcterms:created>
  <dcterms:modified xsi:type="dcterms:W3CDTF">2025-06-17T14:25:47Z</dcterms:modified>
</cp:coreProperties>
</file>